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4297931ad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авнение" sheetId="1" r:id="Re4a2dd76486c4650"/>
    <x:sheet xmlns:r="http://schemas.openxmlformats.org/officeDocument/2006/relationships" name="Киш фета" sheetId="2" r:id="R01f5ffc93d4743ca"/>
    <x:sheet xmlns:r="http://schemas.openxmlformats.org/officeDocument/2006/relationships" name="Картофыджын" sheetId="3" r:id="R2ef9b04b7b544cad"/>
    <x:sheet xmlns:r="http://schemas.openxmlformats.org/officeDocument/2006/relationships" name="Подборка" sheetId="4" r:id="R23be62144d31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—&quot;"/>
    <x:numFmt numFmtId="201" formatCode="#,##0"/>
    <x:numFmt numFmtId="202" formatCode="0.0%;(0.0%);&quot;—&quot;"/>
    <x:numFmt numFmtId="203" formatCode="0"/>
  </x:numFmts>
  <x:fonts count="6">
    <x:font>
      <x:sz val="11"/>
      <x:name val="Carlito"/>
    </x:font>
    <x:font>
      <x:sz val="10"/>
      <x:color rgb="FF243C3A"/>
      <x:name val="Arial"/>
    </x:font>
    <x:font>
      <x:b/>
      <x:sz val="14"/>
      <x:color rgb="FF243C3A"/>
      <x:name val="Arial"/>
    </x:font>
    <x:font>
      <x:i/>
      <x:sz val="10"/>
      <x:color rgb="FF64746D"/>
      <x:name val="Arial"/>
    </x:font>
    <x:font>
      <x:b/>
      <x:sz val="10"/>
      <x:color rgb="FFFFFFFF"/>
      <x:name val="Arial"/>
    </x:font>
    <x:font>
      <x:sz val="10"/>
      <x:color rgb="FF1257A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C3A"/>
      </x:patternFill>
    </x:fill>
    <x:fill>
      <x:patternFill patternType="solid">
        <x:fgColor rgb="FFFFF0C8"/>
      </x:patternFill>
    </x:fill>
    <x:fill>
      <x:patternFill patternType="solid">
        <x:fgColor rgb="FFE7EE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AD3232"/>
      </x:font>
      <x:fill>
        <x:patternFill patternType="solid">
          <x:bgColor rgb="FFFCE6DD"/>
        </x:patternFill>
      </x:fill>
    </x:dxf>
    <x:dxf>
      <x:font>
        <x:b/>
        <x:color rgb="FFAD3232"/>
      </x:font>
      <x:fill>
        <x:patternFill patternType="solid">
          <x:bgColor rgb="FFFCE6DD"/>
        </x:patternFill>
      </x:fill>
    </x:dxf>
    <x:dxf>
      <x:font>
        <x:b/>
        <x:color rgb="FFAD3232"/>
      </x:font>
      <x:fill>
        <x:patternFill patternType="solid">
          <x:bgColor rgb="FFFCE6DD"/>
        </x:patternFill>
      </x:fill>
    </x:dxf>
    <x:dxf>
      <x:font>
        <x:b/>
        <x:color rgb="FFAD3232"/>
      </x:font>
      <x:fill>
        <x:patternFill patternType="solid">
          <x:bgColor rgb="FFFCE6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52c3c397c4381" /><Relationship Type="http://schemas.openxmlformats.org/officeDocument/2006/relationships/theme" Target="/xl/theme/theme1.xml" Id="Rad13424243bb4c88" /><Relationship Type="http://schemas.openxmlformats.org/officeDocument/2006/relationships/sharedStrings" Target="/xl/sharedStrings.xml" Id="Rb27967adc0164488" /><Relationship Type="http://schemas.openxmlformats.org/officeDocument/2006/relationships/worksheet" Target="/xl/worksheets/sheet1.xml" Id="Re4a2dd76486c4650" /><Relationship Type="http://schemas.openxmlformats.org/officeDocument/2006/relationships/worksheet" Target="/xl/worksheets/sheet2.xml" Id="R01f5ffc93d4743ca" /><Relationship Type="http://schemas.openxmlformats.org/officeDocument/2006/relationships/worksheet" Target="/xl/worksheets/sheet3.xml" Id="R2ef9b04b7b544cad" /><Relationship Type="http://schemas.openxmlformats.org/officeDocument/2006/relationships/worksheet" Target="/xl/worksheets/sheet4.xml" Id="R23be62144d314c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3A"/>
  </x:sheetPr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3" hidden="0" customWidth="1"/>
    <x:col min="5" max="5" width="35" hidden="0" customWidth="1"/>
    <x:col min="6" max="6" width="17" hidden="0" customWidth="1"/>
    <x:col min="7" max="7" width="3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Пирогорск · сравнение себестоимости</x:v>
      </x:c>
      <x:c r="B2" s="2"/>
      <x:c r="C2" s="2"/>
      <x:c r="D2" s="2"/>
      <x:c r="E2" s="2"/>
      <x:c r="F2" s="2"/>
      <x:c r="G2" s="2"/>
    </x:row>
    <x:row r="3" ht="23" customHeight="1">
      <x:c r="A3" s="4" t="str">
        <x:v>Плановые допущения на 29.10.2026. Сравнивайте одинаковые состав и вес.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34" customHeight="1">
      <x:c r="A5" s="8" t="str">
        <x:v>На один пирог, ₽</x:v>
      </x:c>
      <x:c r="B5" s="8" t="str">
        <x:v>Готовый пирог</x:v>
      </x:c>
      <x:c r="C5" s="8" t="str">
        <x:v>Своя выпечка</x:v>
      </x:c>
      <x:c r="D5" s="2"/>
      <x:c r="E5" s="8" t="str">
        <x:v>Редактируемые условия</x:v>
      </x:c>
      <x:c r="F5" s="8" t="str">
        <x:v>Значение</x:v>
      </x:c>
      <x:c r="G5" s="8" t="str">
        <x:v>Основание</x:v>
      </x:c>
    </x:row>
    <x:row r="6" ht="32" customHeight="1">
      <x:c r="A6" s="2" t="str">
        <x:v>Статус</x:v>
      </x:c>
      <x:c r="B6" s="2" t="str">
        <x:f>IF(AND(COUNT(F6:F12)=7,F6&gt;0,F7&gt;0,MOD(F7,1)=0,F8&gt;=0,F9&gt;=0,F10&gt;=0,F11&gt;=0,F10+F11&lt;1,F12&gt;0,ISNUMBER(F14),F14&gt;=0,COUNT(F20:F24)=5,F20&gt;=0,F21&gt;=0,F21&lt;1,F22&gt;0,F23&gt;=0,F23&lt;1,F24&gt;=0),"Готово","Нужны данные")</x:f>
        <x:v>Готово</x:v>
      </x:c>
      <x:c r="C6" s="2" t="str">
        <x:f>IF(AND(COUNT(F6:F12)=7,F6&gt;0,F7&gt;0,MOD(F7,1)=0,F8&gt;=0,F9&gt;=0,F10&gt;=0,F11&gt;=0,F10+F11&lt;1,F12&gt;0,ISNUMBER(F14),F14&gt;=0,OR(F13="K01",F13="Q01"),IF(F13="K01",'Картофыджын'!B30,'Киш фета'!B30)="Готово",COUNT(F25:F27)=3,F25&gt;=0,F25&lt;1,F26&gt;=0,F27&gt;=0),"Готово","Нужны данные")</x:f>
        <x:v>Нужны данные</x:v>
      </x:c>
      <x:c r="D6" s="2"/>
      <x:c r="E6" s="11" t="str">
        <x:v>Цена продажи пирога</x:v>
      </x:c>
      <x:c r="F6" s="12" t="n">
        <x:v>1500</x:v>
      </x:c>
      <x:c r="G6" s="11" t="str">
        <x:v>Пример пользователя, не прогноз</x:v>
      </x:c>
    </x:row>
    <x:row r="7" ht="32" customHeight="1">
      <x:c r="A7" s="2"/>
      <x:c r="B7" s="2"/>
      <x:c r="C7" s="2"/>
      <x:c r="D7" s="2"/>
      <x:c r="E7" s="11" t="str">
        <x:v>Пирогов в одном заказе</x:v>
      </x:c>
      <x:c r="F7" s="18" t="n">
        <x:v>1</x:v>
      </x:c>
      <x:c r="G7" s="11" t="str">
        <x:v>План; доставка один раз на заказ</x:v>
      </x:c>
    </x:row>
    <x:row r="8" ht="32" customHeight="1">
      <x:c r="A8" s="2" t="str">
        <x:v>Покупка / сырьё</x:v>
      </x:c>
      <x:c r="B8" s="13" t="n">
        <x:f>IF(B6="Готово",F20*(1-F21),"")</x:f>
        <x:v>899.1</x:v>
      </x:c>
      <x:c r="C8" s="13" t="str">
        <x:f>IF(C6="Готово",IF(F13="K01",'Картофыджын'!B31,'Киш фета'!B31),"")</x:f>
      </x:c>
      <x:c r="D8" s="2"/>
      <x:c r="E8" s="11" t="str">
        <x:v>Доставку оплачивает клиент, ₽</x:v>
      </x:c>
      <x:c r="F8" s="12" t="n">
        <x:v>350</x:v>
      </x:c>
      <x:c r="G8" s="11" t="str">
        <x:v>План, не подтверждённый тариф</x:v>
      </x:c>
    </x:row>
    <x:row r="9" ht="32" customHeight="1">
      <x:c r="A9" s="2" t="str">
        <x:v>Добавка на списания</x:v>
      </x:c>
      <x:c r="B9" s="13" t="n">
        <x:f>IF(B6="Готово",B8/(1-F23)-B8,"")</x:f>
        <x:v>0</x:v>
      </x:c>
      <x:c r="C9" s="13" t="str">
        <x:f>IF(C6="Готово",C8/(1-F25)-C8,"")</x:f>
      </x:c>
      <x:c r="D9" s="2"/>
      <x:c r="E9" s="11" t="str">
        <x:v>Курьер за заказ, ₽</x:v>
      </x:c>
      <x:c r="F9" s="12" t="n">
        <x:v>350</x:v>
      </x:c>
      <x:c r="G9" s="11" t="str">
        <x:v>План src/data/pricing.ts</x:v>
      </x:c>
    </x:row>
    <x:row r="10" ht="32" customHeight="1">
      <x:c r="A10" s="2" t="str">
        <x:v>Подвоз на изделие</x:v>
      </x:c>
      <x:c r="B10" s="13" t="n">
        <x:f>IF(B6="Готово",F24,"")</x:f>
        <x:v>5</x:v>
      </x:c>
      <x:c r="C10" s="13" t="str">
        <x:f>IF(C6="Готово",F27,"")</x:f>
      </x:c>
      <x:c r="D10" s="2"/>
      <x:c r="E10" s="11" t="str">
        <x:v>Резерв от выручки за пироги</x:v>
      </x:c>
      <x:c r="F10" s="17" t="n">
        <x:v>0.1</x:v>
      </x:c>
      <x:c r="G10" s="11" t="str">
        <x:v>План на налоги, комиссии и прочее</x:v>
      </x:c>
    </x:row>
    <x:row r="11" ht="32" customHeight="1">
      <x:c r="A11" s="2" t="str">
        <x:v>Труд и энергия производства</x:v>
      </x:c>
      <x:c r="B11" s="13" t="n">
        <x:f>IF(B6="Готово",0,"")</x:f>
        <x:v>0</x:v>
      </x:c>
      <x:c r="C11" s="13" t="str">
        <x:f>IF(C6="Готово",F26,"")</x:f>
      </x:c>
      <x:c r="D11" s="2"/>
      <x:c r="E11" s="11" t="str">
        <x:v>Целевой вклад / выручка</x:v>
      </x:c>
      <x:c r="F11" s="17" t="n">
        <x:v>0.35</x:v>
      </x:c>
      <x:c r="G11" s="11" t="str">
        <x:v>План src/data/pricing.ts</x:v>
      </x:c>
    </x:row>
    <x:row r="12" ht="32" customHeight="1">
      <x:c r="A12" s="2" t="str">
        <x:v>Упаковка</x:v>
      </x:c>
      <x:c r="B12" s="13" t="n">
        <x:f>IF(B6="Готово",F14,"")</x:f>
        <x:v>40</x:v>
      </x:c>
      <x:c r="C12" s="13" t="str">
        <x:f>IF(C6="Готово",F14,"")</x:f>
      </x:c>
      <x:c r="D12" s="2"/>
      <x:c r="E12" s="11" t="str">
        <x:v>Шаг округления цены, ₽</x:v>
      </x:c>
      <x:c r="F12" s="12" t="n">
        <x:v>10</x:v>
      </x:c>
      <x:c r="G12" s="11" t="str">
        <x:v>План src/data/pricing.ts</x:v>
      </x:c>
    </x:row>
    <x:row r="13" ht="32" customHeight="1">
      <x:c r="A13" s="15" t="str">
        <x:v>Прямые затраты на пирог</x:v>
      </x:c>
      <x:c r="B13" s="16" t="n">
        <x:f>IF(B6="Готово",SUM(B8:B12),"")</x:f>
        <x:v>944.1</x:v>
      </x:c>
      <x:c r="C13" s="16" t="str">
        <x:f>IF(C6="Готово",SUM(C8:C12),"")</x:f>
      </x:c>
      <x:c r="D13" s="2"/>
      <x:c r="E13" s="11" t="str">
        <x:v>Рецептура своей выпечки</x:v>
      </x:c>
      <x:c r="F13" s="12" t="str">
        <x:v>K01</x:v>
      </x:c>
      <x:c r="G13" s="11" t="str">
        <x:v>K01 — картофель; Q01 — киш фета</x:v>
      </x:c>
    </x:row>
    <x:row r="14" ht="32" customHeight="1">
      <x:c r="A14" s="2" t="str">
        <x:v>Масса пирога, г</x:v>
      </x:c>
      <x:c r="B14" s="20" t="n">
        <x:f>IF(B6="Готово",F22,"")</x:f>
        <x:v>850</x:v>
      </x:c>
      <x:c r="C14" s="20" t="str">
        <x:f>IF(C6="Готово",IF(F13="K01",'Картофыджын'!B32,'Киш фета'!B32),"")</x:f>
      </x:c>
      <x:c r="D14" s="2"/>
      <x:c r="E14" s="11" t="str">
        <x:v>Упаковка на пирог, ₽</x:v>
      </x:c>
      <x:c r="F14" s="12" t="n">
        <x:v>40</x:v>
      </x:c>
      <x:c r="G14" s="11" t="str">
        <x:v>План src/data/pricing.ts</x:v>
      </x:c>
    </x:row>
    <x:row r="15" ht="32" customHeight="1">
      <x:c r="A15" s="2"/>
      <x:c r="B15" s="13"/>
      <x:c r="C15" s="13"/>
      <x:c r="D15" s="2"/>
      <x:c r="E15" s="11"/>
      <x:c r="F15" s="13"/>
      <x:c r="G15" s="11"/>
    </x:row>
    <x:row r="16" ht="32" customHeight="1">
      <x:c r="A16" s="2" t="str">
        <x:v>Цена продажи</x:v>
      </x:c>
      <x:c r="B16" s="13" t="n">
        <x:f>IF(B6="Готово",F6,"")</x:f>
        <x:v>1500</x:v>
      </x:c>
      <x:c r="C16" s="13" t="str">
        <x:f>IF(C6="Готово",F6,"")</x:f>
      </x:c>
      <x:c r="D16" s="2"/>
      <x:c r="E16" s="11"/>
      <x:c r="F16" s="13"/>
      <x:c r="G16" s="11"/>
    </x:row>
    <x:row r="17" ht="32" customHeight="1">
      <x:c r="A17" s="2" t="str">
        <x:v>Остаток до резерва и доставки</x:v>
      </x:c>
      <x:c r="B17" s="13" t="n">
        <x:f>IF(B6="Готово",F6-B13,"")</x:f>
        <x:v>555.9</x:v>
      </x:c>
      <x:c r="C17" s="13" t="str">
        <x:f>IF(C6="Готово",F6-C13,"")</x:f>
      </x:c>
      <x:c r="D17" s="2"/>
      <x:c r="E17" s="11"/>
      <x:c r="F17" s="13"/>
      <x:c r="G17" s="11"/>
    </x:row>
    <x:row r="18" ht="32" customHeight="1">
      <x:c r="A18" s="2" t="str">
        <x:v>Резерв от выручки</x:v>
      </x:c>
      <x:c r="B18" s="13" t="n">
        <x:f>IF(B6="Готово",F6*F10,"")</x:f>
        <x:v>150</x:v>
      </x:c>
      <x:c r="C18" s="13" t="str">
        <x:f>IF(C6="Готово",F6*F10,"")</x:f>
      </x:c>
      <x:c r="D18" s="2"/>
      <x:c r="E18" s="11" t="str">
        <x:v>Готовый пирог · картофель и сыр</x:v>
      </x:c>
      <x:c r="F18" s="13"/>
      <x:c r="G18" s="11"/>
    </x:row>
    <x:row r="19" ht="32" customHeight="1">
      <x:c r="A19" s="2" t="str">
        <x:v>Доставка за счёт нас / заказ</x:v>
      </x:c>
      <x:c r="B19" s="13" t="n">
        <x:f>IF(B6="Готово",F9-F8,"")</x:f>
        <x:v>0</x:v>
      </x:c>
      <x:c r="C19" s="13" t="str">
        <x:f>IF(C6="Готово",F9-F8,"")</x:f>
      </x:c>
      <x:c r="D19" s="2"/>
      <x:c r="E19" s="11"/>
      <x:c r="F19" s="13"/>
      <x:c r="G19" s="11"/>
    </x:row>
    <x:row r="20" ht="32" customHeight="1">
      <x:c r="A20" s="2" t="str">
        <x:v>Доставка за счёт нас / пирог</x:v>
      </x:c>
      <x:c r="B20" s="13" t="n">
        <x:f>IF(B6="Готово",B19/F7,"")</x:f>
        <x:v>0</x:v>
      </x:c>
      <x:c r="C20" s="13" t="str">
        <x:f>IF(C6="Готово",C19/F7,"")</x:f>
      </x:c>
      <x:c r="D20" s="2"/>
      <x:c r="E20" s="11" t="str">
        <x:v>Публичная цена до скидки, ₽</x:v>
      </x:c>
      <x:c r="F20" s="12" t="n">
        <x:v>999</x:v>
      </x:c>
      <x:c r="G20" s="11" t="str">
        <x:v>P01 · карточка pirogi39, 850 г</x:v>
      </x:c>
    </x:row>
    <x:row r="21" ht="32" customHeight="1">
      <x:c r="A21" s="15" t="str">
        <x:v>Вклад на пирог</x:v>
      </x:c>
      <x:c r="B21" s="16" t="n">
        <x:f>IF(B6="Готово",B17-B18-B20,"")</x:f>
        <x:v>405.9</x:v>
      </x:c>
      <x:c r="C21" s="16" t="str">
        <x:f>IF(C6="Готово",C17-C18-C20,"")</x:f>
      </x:c>
      <x:c r="D21" s="2"/>
      <x:c r="E21" s="11" t="str">
        <x:v>Скидка самовывоза</x:v>
      </x:c>
      <x:c r="F21" s="17" t="n">
        <x:v>0.1</x:v>
      </x:c>
      <x:c r="G21" s="11" t="str">
        <x:v>Со слов пользователя; подтвердить</x:v>
      </x:c>
    </x:row>
    <x:row r="22" ht="32" customHeight="1">
      <x:c r="A22" s="15" t="str">
        <x:v>Вклад / выручка</x:v>
      </x:c>
      <x:c r="B22" s="21" t="n">
        <x:f>IF(B6="Готово",B21/F6,"")</x:f>
        <x:v>0.2706</x:v>
      </x:c>
      <x:c r="C22" s="21" t="str">
        <x:f>IF(C6="Готово",C21/F6,"")</x:f>
      </x:c>
      <x:c r="D22" s="2"/>
      <x:c r="E22" s="11" t="str">
        <x:v>Вес готового пирога, г</x:v>
      </x:c>
      <x:c r="F22" s="12" t="n">
        <x:v>850</x:v>
      </x:c>
      <x:c r="G22" s="11" t="str">
        <x:v>P01 · карточка pirogi39</x:v>
      </x:c>
    </x:row>
    <x:row r="23" ht="32" customHeight="1">
      <x:c r="A23" s="15" t="str">
        <x:v>Цена под целевой вклад</x:v>
      </x:c>
      <x:c r="B23" s="16" t="n">
        <x:f>IF(B6="Готово",MAX(0,ROUNDUP((B13+B20)/(1-F10-F11)/F12,0)*F12),"")</x:f>
        <x:v>1720</x:v>
      </x:c>
      <x:c r="C23" s="16" t="str">
        <x:f>IF(C6="Готово",MAX(0,ROUNDUP((C13+C20)/(1-F10-F11)/F12,0)*F12),"")</x:f>
      </x:c>
      <x:c r="D23" s="2"/>
      <x:c r="E23" s="11" t="str">
        <x:v>Доля списаний готовых пирогов</x:v>
      </x:c>
      <x:c r="F23" s="17" t="n">
        <x:v>0</x:v>
      </x:c>
      <x:c r="G23" s="11" t="str">
        <x:v>План; 0 означает отсутствие списаний</x:v>
      </x:c>
    </x:row>
    <x:row r="24" ht="32" customHeight="1">
      <x:c r="A24" s="2"/>
      <x:c r="B24" s="13"/>
      <x:c r="C24" s="13"/>
      <x:c r="D24" s="2"/>
      <x:c r="E24" s="11" t="str">
        <x:v>Подвоз на один пирог, ₽</x:v>
      </x:c>
      <x:c r="F24" s="12" t="n">
        <x:v>5</x:v>
      </x:c>
      <x:c r="G24" s="11" t="str">
        <x:v>План src/data/pricing.ts</x:v>
      </x:c>
    </x:row>
    <x:row r="25" ht="32" customHeight="1">
      <x:c r="A25" s="15" t="str">
        <x:v>Вклад на один заказ</x:v>
      </x:c>
      <x:c r="B25" s="16" t="n">
        <x:f>IF(B6="Готово",B21*F7,"")</x:f>
        <x:v>405.9</x:v>
      </x:c>
      <x:c r="C25" s="16" t="str">
        <x:f>IF(C6="Готово",C21*F7,"")</x:f>
      </x:c>
      <x:c r="D25" s="2"/>
      <x:c r="E25" s="11" t="str">
        <x:v>Доля списаний своей выпечки</x:v>
      </x:c>
      <x:c r="F25" s="17"/>
      <x:c r="G25" s="11" t="str">
        <x:v>Нужно задать, в том числе явно 0</x:v>
      </x:c>
    </x:row>
    <x:row r="26" ht="32" customHeight="1">
      <x:c r="A26" s="2"/>
      <x:c r="B26" s="2"/>
      <x:c r="C26" s="2"/>
      <x:c r="D26" s="2"/>
      <x:c r="E26" s="11" t="str">
        <x:v>Труд + энергия на пирог, ₽</x:v>
      </x:c>
      <x:c r="F26" s="12"/>
      <x:c r="G26" s="11" t="str">
        <x:v>Нужен расчёт по пробной партии</x:v>
      </x:c>
    </x:row>
    <x:row r="27" ht="32" customHeight="1">
      <x:c r="A27" s="2"/>
      <x:c r="B27" s="2"/>
      <x:c r="C27" s="2"/>
      <x:c r="D27" s="2"/>
      <x:c r="E27" s="11" t="str">
        <x:v>Подвоз сырья на пирог, ₽</x:v>
      </x:c>
      <x:c r="F27" s="12"/>
      <x:c r="G27" s="11" t="str">
        <x:v>Нужен расчёт закупочной партии</x:v>
      </x:c>
    </x:row>
    <x:row r="28" ht="23" customHeight="1">
      <x:c r="A28" s="2" t="str">
        <x:v>Вклад — до аренды, постоянных расходов и инвестиций.</x:v>
      </x:c>
      <x:c r="B28" s="2"/>
      <x:c r="C28" s="2"/>
      <x:c r="D28" s="2"/>
      <x:c r="E28" s="2"/>
      <x:c r="F28" s="2"/>
      <x:c r="G28" s="2"/>
    </x:row>
    <x:row r="29" ht="23" customHeight="1">
      <x:c r="A29" s="2" t="str">
        <x:v>Резерв применяется к выручке за пироги; платёж за доставку учитывается отдельно.</x:v>
      </x:c>
      <x:c r="B29" s="2"/>
      <x:c r="C29" s="2"/>
      <x:c r="D29" s="2"/>
      <x:c r="E29" s="2" t="str">
        <x:v>Списания увеличивают закупку сырья; труд/энергию задайте на проданный пирог.</x:v>
      </x:c>
      <x:c r="F29" s="2"/>
      <x:c r="G29" s="2"/>
    </x:row>
    <x:row r="30" ht="23" customHeight="1">
      <x:c r="A30" s="2"/>
      <x:c r="B30" s="2"/>
      <x:c r="C30" s="2"/>
      <x:c r="D30" s="2"/>
      <x:c r="E30" s="2"/>
      <x:c r="F30" s="2"/>
      <x:c r="G30" s="2"/>
    </x:row>
  </x:sheetData>
  <x:conditionalFormatting sqref="B6:C6">
    <x:cfRule type="expression" dxfId="2" priority="1">
      <x:formula>B6&lt;&gt;"Готово"</x:formula>
    </x:cfRule>
  </x:conditionalFormatting>
  <x:conditionalFormatting sqref="B21:C21">
    <x:cfRule type="expression" dxfId="3" priority="2">
      <x:formula>AND(ISNUMBER(B21),B21&lt;0)</x:formula>
    </x:cfRule>
  </x:conditionalFormatting>
  <x:dataValidations count="14">
    <x:dataValidation type="list" sqref="F13">
      <x:formula1>"K01,Q01"</x:formula1>
    </x:dataValidation>
    <x:dataValidation type="decimal" operator="greaterThanOrEqual" sqref="F6">
      <x:formula1>0</x:formula1>
    </x:dataValidation>
    <x:dataValidation type="decimal" operator="greaterThanOrEqual" sqref="F8:F9">
      <x:formula1>0</x:formula1>
    </x:dataValidation>
    <x:dataValidation type="decimal" operator="greaterThanOrEqual" sqref="F12">
      <x:formula1>0</x:formula1>
    </x:dataValidation>
    <x:dataValidation type="decimal" operator="greaterThanOrEqual" sqref="F14">
      <x:formula1>0</x:formula1>
    </x:dataValidation>
    <x:dataValidation type="decimal" operator="greaterThanOrEqual" sqref="F20">
      <x:formula1>0</x:formula1>
    </x:dataValidation>
    <x:dataValidation type="decimal" operator="greaterThanOrEqual" sqref="F22">
      <x:formula1>0</x:formula1>
    </x:dataValidation>
    <x:dataValidation type="decimal" operator="greaterThanOrEqual" sqref="F24">
      <x:formula1>0</x:formula1>
    </x:dataValidation>
    <x:dataValidation type="decimal" operator="greaterThanOrEqual" sqref="F26:F27">
      <x:formula1>0</x:formula1>
    </x:dataValidation>
    <x:dataValidation type="decimal" operator="between" sqref="F10:F11">
      <x:formula1>0</x:formula1>
      <x:formula2>0.999999</x:formula2>
    </x:dataValidation>
    <x:dataValidation type="decimal" operator="between" sqref="F21">
      <x:formula1>0</x:formula1>
      <x:formula2>0.999999</x:formula2>
    </x:dataValidation>
    <x:dataValidation type="decimal" operator="between" sqref="F23">
      <x:formula1>0</x:formula1>
      <x:formula2>0.999999</x:formula2>
    </x:dataValidation>
    <x:dataValidation type="decimal" operator="between" sqref="F25">
      <x:formula1>0</x:formula1>
      <x:formula2>0.999999</x:formula2>
    </x:dataValidation>
    <x:dataValidation type="whole" operator="greaterThan" sqref="F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6" hidden="0" customWidth="1"/>
    <x:col min="5" max="5" width="17" hidden="0" customWidth="1"/>
    <x:col min="6" max="6" width="17" hidden="0" customWidth="1"/>
    <x:col min="7" max="7" width="3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Киш с брокколи и фетой</x:v>
      </x:c>
      <x:c r="B2" s="2"/>
      <x:c r="C2" s="2"/>
      <x:c r="D2" s="2"/>
      <x:c r="E2" s="2"/>
      <x:c r="F2" s="2"/>
      <x:c r="G2" s="2"/>
    </x:row>
    <x:row r="3" ht="23" customHeight="1">
      <x:c r="A3" s="4" t="str">
        <x:v>Q01 · исходные закладки в граммах · источник и замечания — в «Подборке»</x:v>
      </x:c>
      <x:c r="B3" s="2"/>
      <x:c r="C3" s="2"/>
      <x:c r="D3" s="2"/>
      <x:c r="E3" s="2"/>
      <x:c r="F3" s="2"/>
      <x:c r="G3" s="2"/>
    </x:row>
    <x:row r="4" ht="23" customHeight="1">
      <x:c r="A4" s="2" t="str">
        <x:v>Жёлтые поля: закупочная масса в граммах и цена за кг из накладной.</x:v>
      </x:c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34" customHeight="1">
      <x:c r="A6" s="8" t="str">
        <x:v>Ингредиент</x:v>
      </x:c>
      <x:c r="B6" s="8" t="str">
        <x:v>Брутто источника</x:v>
      </x:c>
      <x:c r="C6" s="8" t="str">
        <x:v>Нетто источника</x:v>
      </x:c>
      <x:c r="D6" s="8" t="str">
        <x:v>В закупку, г</x:v>
      </x:c>
      <x:c r="E6" s="8" t="str">
        <x:v>Цена за кг, ₽</x:v>
      </x:c>
      <x:c r="F6" s="8" t="str">
        <x:v>Сумма, ₽</x:v>
      </x:c>
      <x:c r="G6" s="8" t="str">
        <x:v>Основание цены / правки</x:v>
      </x:c>
    </x:row>
    <x:row r="7" ht="35" customHeight="1">
      <x:c r="A7" s="11" t="str">
        <x:v>Брокколи</x:v>
      </x:c>
      <x:c r="B7" s="11" t="str">
        <x:v>500</x:v>
      </x:c>
      <x:c r="C7" s="11" t="str">
        <x:v>500</x:v>
      </x:c>
      <x:c r="D7" s="12" t="n">
        <x:v>500</x:v>
      </x:c>
      <x:c r="E7" s="12"/>
      <x:c r="F7" s="13" t="str">
        <x:f>IF(A7="","",IF(NOT(ISNUMBER(D7)),"",IF(D7&lt;0,"",IF(D7=0,0,IF(AND(ISNUMBER(E7),E7&gt;=0),D7/1000*E7,"")))))</x:f>
      </x:c>
      <x:c r="G7" s="10"/>
    </x:row>
    <x:row r="8" ht="35" customHeight="1">
      <x:c r="A8" s="11" t="str">
        <x:v>Сыр твердый</x:v>
      </x:c>
      <x:c r="B8" s="11" t="str">
        <x:v>100</x:v>
      </x:c>
      <x:c r="C8" s="11" t="str">
        <x:v>100</x:v>
      </x:c>
      <x:c r="D8" s="12" t="n">
        <x:v>100</x:v>
      </x:c>
      <x:c r="E8" s="12"/>
      <x:c r="F8" s="13" t="str">
        <x:f>IF(A8="","",IF(NOT(ISNUMBER(D8)),"",IF(D8&lt;0,"",IF(D8=0,0,IF(AND(ISNUMBER(E8),E8&gt;=0),D8/1000*E8,"")))))</x:f>
      </x:c>
      <x:c r="G8" s="10"/>
    </x:row>
    <x:row r="9" ht="35" customHeight="1">
      <x:c r="A9" s="11" t="str">
        <x:v>Мука</x:v>
      </x:c>
      <x:c r="B9" s="11" t="str">
        <x:v>400</x:v>
      </x:c>
      <x:c r="C9" s="11" t="str">
        <x:v>400</x:v>
      </x:c>
      <x:c r="D9" s="12" t="n">
        <x:v>400</x:v>
      </x:c>
      <x:c r="E9" s="12"/>
      <x:c r="F9" s="13" t="str">
        <x:f>IF(A9="","",IF(NOT(ISNUMBER(D9)),"",IF(D9&lt;0,"",IF(D9=0,0,IF(AND(ISNUMBER(E9),E9&gt;=0),D9/1000*E9,"")))))</x:f>
      </x:c>
      <x:c r="G9" s="10"/>
    </x:row>
    <x:row r="10" ht="35" customHeight="1">
      <x:c r="A10" s="11" t="str">
        <x:v>Масло сливочное</x:v>
      </x:c>
      <x:c r="B10" s="11" t="str">
        <x:v>100</x:v>
      </x:c>
      <x:c r="C10" s="11" t="str">
        <x:v>100</x:v>
      </x:c>
      <x:c r="D10" s="12" t="n">
        <x:v>100</x:v>
      </x:c>
      <x:c r="E10" s="12"/>
      <x:c r="F10" s="13" t="str">
        <x:f>IF(A10="","",IF(NOT(ISNUMBER(D10)),"",IF(D10&lt;0,"",IF(D10=0,0,IF(AND(ISNUMBER(E10),E10&gt;=0),D10/1000*E10,"")))))</x:f>
      </x:c>
      <x:c r="G10" s="10"/>
    </x:row>
    <x:row r="11" ht="35" customHeight="1">
      <x:c r="A11" s="11" t="str">
        <x:v>Сметана</x:v>
      </x:c>
      <x:c r="B11" s="11" t="str">
        <x:v>60</x:v>
      </x:c>
      <x:c r="C11" s="11" t="str">
        <x:v>60</x:v>
      </x:c>
      <x:c r="D11" s="12" t="n">
        <x:v>60</x:v>
      </x:c>
      <x:c r="E11" s="12"/>
      <x:c r="F11" s="13" t="str">
        <x:f>IF(A11="","",IF(NOT(ISNUMBER(D11)),"",IF(D11&lt;0,"",IF(D11=0,0,IF(AND(ISNUMBER(E11),E11&gt;=0),D11/1000*E11,"")))))</x:f>
      </x:c>
      <x:c r="G11" s="10"/>
    </x:row>
    <x:row r="12" ht="35" customHeight="1">
      <x:c r="A12" s="11" t="str">
        <x:v>Яйца</x:v>
      </x:c>
      <x:c r="B12" s="11" t="str">
        <x:v>420</x:v>
      </x:c>
      <x:c r="C12" s="11" t="str">
        <x:v>420</x:v>
      </x:c>
      <x:c r="D12" s="12" t="n">
        <x:v>420</x:v>
      </x:c>
      <x:c r="E12" s="12"/>
      <x:c r="F12" s="13" t="str">
        <x:f>IF(A12="","",IF(NOT(ISNUMBER(D12)),"",IF(D12&lt;0,"",IF(D12=0,0,IF(AND(ISNUMBER(E12),E12&gt;=0),D12/1000*E12,"")))))</x:f>
      </x:c>
      <x:c r="G12" s="10"/>
    </x:row>
    <x:row r="13" ht="35" customHeight="1">
      <x:c r="A13" s="11" t="str">
        <x:v>Сыр фета</x:v>
      </x:c>
      <x:c r="B13" s="11" t="str">
        <x:v>500</x:v>
      </x:c>
      <x:c r="C13" s="11" t="str">
        <x:v>500</x:v>
      </x:c>
      <x:c r="D13" s="12" t="n">
        <x:v>500</x:v>
      </x:c>
      <x:c r="E13" s="12"/>
      <x:c r="F13" s="13" t="str">
        <x:f>IF(A13="","",IF(NOT(ISNUMBER(D13)),"",IF(D13&lt;0,"",IF(D13=0,0,IF(AND(ISNUMBER(E13),E13&gt;=0),D13/1000*E13,"")))))</x:f>
      </x:c>
      <x:c r="G13" s="10"/>
    </x:row>
    <x:row r="14" ht="35" customHeight="1">
      <x:c r="A14" s="11" t="str">
        <x:v>Соль</x:v>
      </x:c>
      <x:c r="B14" s="11" t="str">
        <x:v>10</x:v>
      </x:c>
      <x:c r="C14" s="11" t="str">
        <x:v>10</x:v>
      </x:c>
      <x:c r="D14" s="12" t="n">
        <x:v>10</x:v>
      </x:c>
      <x:c r="E14" s="12"/>
      <x:c r="F14" s="13" t="str">
        <x:f>IF(A14="","",IF(NOT(ISNUMBER(D14)),"",IF(D14&lt;0,"",IF(D14=0,0,IF(AND(ISNUMBER(E14),E14&gt;=0),D14/1000*E14,"")))))</x:f>
      </x:c>
      <x:c r="G14" s="10"/>
    </x:row>
    <x:row r="15" ht="35" customHeight="1">
      <x:c r="A15" s="11" t="str">
        <x:v>Сахар</x:v>
      </x:c>
      <x:c r="B15" s="11" t="str">
        <x:v>12</x:v>
      </x:c>
      <x:c r="C15" s="11" t="str">
        <x:v>12</x:v>
      </x:c>
      <x:c r="D15" s="12" t="n">
        <x:v>12</x:v>
      </x:c>
      <x:c r="E15" s="12"/>
      <x:c r="F15" s="13" t="str">
        <x:f>IF(A15="","",IF(NOT(ISNUMBER(D15)),"",IF(D15&lt;0,"",IF(D15=0,0,IF(AND(ISNUMBER(E15),E15&gt;=0),D15/1000*E15,"")))))</x:f>
      </x:c>
      <x:c r="G15" s="10"/>
    </x:row>
    <x:row r="16" ht="35" customHeight="1">
      <x:c r="A16" s="11" t="str">
        <x:v>Масло растительное</x:v>
      </x:c>
      <x:c r="B16" s="11" t="str">
        <x:v>80</x:v>
      </x:c>
      <x:c r="C16" s="11" t="str">
        <x:v>80</x:v>
      </x:c>
      <x:c r="D16" s="12" t="n">
        <x:v>80</x:v>
      </x:c>
      <x:c r="E16" s="12"/>
      <x:c r="F16" s="13" t="str">
        <x:f>IF(A16="","",IF(NOT(ISNUMBER(D16)),"",IF(D16&lt;0,"",IF(D16=0,0,IF(AND(ISNUMBER(E16),E16&gt;=0),D16/1000*E16,"")))))</x:f>
      </x:c>
      <x:c r="G16" s="10"/>
    </x:row>
    <x:row r="17" ht="35" customHeight="1">
      <x:c r="A17" s="11" t="str">
        <x:v>Лук репчатый</x:v>
      </x:c>
      <x:c r="B17" s="11" t="str">
        <x:v>100</x:v>
      </x:c>
      <x:c r="C17" s="11" t="str">
        <x:v>100</x:v>
      </x:c>
      <x:c r="D17" s="12" t="n">
        <x:v>100</x:v>
      </x:c>
      <x:c r="E17" s="12"/>
      <x:c r="F17" s="13" t="str">
        <x:f>IF(A17="","",IF(NOT(ISNUMBER(D17)),"",IF(D17&lt;0,"",IF(D17=0,0,IF(AND(ISNUMBER(E17),E17&gt;=0),D17/1000*E17,"")))))</x:f>
      </x:c>
      <x:c r="G17" s="10"/>
    </x:row>
    <x:row r="18" ht="35" customHeight="1">
      <x:c r="A18" s="11" t="str">
        <x:v>Перец черный молотый</x:v>
      </x:c>
      <x:c r="B18" s="11" t="str">
        <x:v>2</x:v>
      </x:c>
      <x:c r="C18" s="11" t="str">
        <x:v>2</x:v>
      </x:c>
      <x:c r="D18" s="12" t="n">
        <x:v>2</x:v>
      </x:c>
      <x:c r="E18" s="12"/>
      <x:c r="F18" s="13" t="str">
        <x:f>IF(A18="","",IF(NOT(ISNUMBER(D18)),"",IF(D18&lt;0,"",IF(D18=0,0,IF(AND(ISNUMBER(E18),E18&gt;=0),D18/1000*E18,"")))))</x:f>
      </x:c>
      <x:c r="G18" s="10"/>
    </x:row>
    <x:row r="19" ht="35" customHeight="1">
      <x:c r="A19" s="11" t="str">
        <x:v>Разрыхлитель</x:v>
      </x:c>
      <x:c r="B19" s="11" t="str">
        <x:v>8</x:v>
      </x:c>
      <x:c r="C19" s="11" t="str">
        <x:v>8</x:v>
      </x:c>
      <x:c r="D19" s="12" t="n">
        <x:v>8</x:v>
      </x:c>
      <x:c r="E19" s="12"/>
      <x:c r="F19" s="13" t="str">
        <x:f>IF(A19="","",IF(NOT(ISNUMBER(D19)),"",IF(D19&lt;0,"",IF(D19=0,0,IF(AND(ISNUMBER(E19),E19&gt;=0),D19/1000*E19,"")))))</x:f>
      </x:c>
      <x:c r="G19" s="10"/>
    </x:row>
    <x:row r="20" ht="35" customHeight="1">
      <x:c r="A20" s="11" t="str">
        <x:v>Вода — сверить рецептуру</x:v>
      </x:c>
      <x:c r="B20" s="11" t="str">
        <x:v>Не указано</x:v>
      </x:c>
      <x:c r="C20" s="11" t="str">
        <x:v>Не указано</x:v>
      </x:c>
      <x:c r="D20" s="12"/>
      <x:c r="E20" s="12"/>
      <x:c r="F20" s="13" t="str">
        <x:f>IF(A20="","",IF(NOT(ISNUMBER(D20)),"",IF(D20&lt;0,"",IF(D20=0,0,IF(AND(ISNUMBER(E20),E20&gt;=0),D20/1000*E20,"")))))</x:f>
      </x:c>
      <x:c r="G20" s="10" t="str">
        <x:v>Если не нужна, явно введите 0 г</x:v>
      </x:c>
    </x:row>
    <x:row r="21" ht="35" customHeight="1">
      <x:c r="A21" s="11"/>
      <x:c r="B21" s="11"/>
      <x:c r="C21" s="11"/>
      <x:c r="D21" s="12"/>
      <x:c r="E21" s="12"/>
      <x:c r="F21" s="13" t="str">
        <x:f>IF(A21="","",IF(NOT(ISNUMBER(D21)),"",IF(D21&lt;0,"",IF(D21=0,0,IF(AND(ISNUMBER(E21),E21&gt;=0),D21/1000*E21,"")))))</x:f>
      </x:c>
      <x:c r="G21" s="10"/>
    </x:row>
    <x:row r="22" ht="35" customHeight="1">
      <x:c r="A22" s="11"/>
      <x:c r="B22" s="11"/>
      <x:c r="C22" s="11"/>
      <x:c r="D22" s="12"/>
      <x:c r="E22" s="12"/>
      <x:c r="F22" s="13" t="str">
        <x:f>IF(A22="","",IF(NOT(ISNUMBER(D22)),"",IF(D22&lt;0,"",IF(D22=0,0,IF(AND(ISNUMBER(E22),E22&gt;=0),D22/1000*E22,"")))))</x:f>
      </x:c>
      <x:c r="G22" s="10"/>
    </x:row>
    <x:row r="23" ht="23" customHeight="1">
      <x:c r="A23" s="2"/>
      <x:c r="B23" s="2"/>
      <x:c r="C23" s="2"/>
      <x:c r="D23" s="13"/>
      <x:c r="E23" s="13"/>
      <x:c r="F23" s="13"/>
      <x:c r="G23" s="2"/>
    </x:row>
    <x:row r="24" ht="23" customHeight="1">
      <x:c r="A24" s="2"/>
      <x:c r="B24" s="2"/>
      <x:c r="C24" s="2"/>
      <x:c r="D24" s="13"/>
      <x:c r="E24" s="13"/>
      <x:c r="F24" s="13"/>
      <x:c r="G24" s="2"/>
    </x:row>
    <x:row r="25" ht="23" customHeight="1">
      <x:c r="A25" s="2" t="str">
        <x:v>Сумма закладок, г</x:v>
      </x:c>
      <x:c r="B25" s="13" t="str">
        <x:f>IF(COUNT(D7:D22)=COUNTA(A7:A22),SUM(D7:D22),"")</x:f>
      </x:c>
      <x:c r="C25" s="2"/>
      <x:c r="D25" s="13" t="str">
        <x:v>Брутто используется для закупки; нетто — для сверки потерь.</x:v>
      </x:c>
      <x:c r="E25" s="13"/>
      <x:c r="F25" s="13"/>
      <x:c r="G25" s="2"/>
    </x:row>
    <x:row r="26" ht="23" customHeight="1">
      <x:c r="A26" s="2" t="str">
        <x:v>Сырьё на партию, ₽</x:v>
      </x:c>
      <x:c r="B26" s="13" t="str">
        <x:f>IF(COUNT(F7:F22)=COUNTA(A7:A22),SUM(F7:F22),"")</x:f>
      </x:c>
      <x:c r="C26" s="2"/>
      <x:c r="D26" s="13"/>
      <x:c r="E26" s="13"/>
      <x:c r="F26" s="13"/>
      <x:c r="G26" s="2"/>
    </x:row>
    <x:row r="27" ht="23" customHeight="1">
      <x:c r="A27" s="2" t="str">
        <x:v>Рецептура проверена</x:v>
      </x:c>
      <x:c r="B27" s="10" t="str">
        <x:v>Нет</x:v>
      </x:c>
      <x:c r="C27" s="2"/>
      <x:c r="D27" s="13" t="str">
        <x:v>«Да» — после устранения пробелов и контрольной выпечки.</x:v>
      </x:c>
      <x:c r="E27" s="13"/>
      <x:c r="F27" s="13"/>
      <x:c r="G27" s="2"/>
    </x:row>
    <x:row r="28" ht="23" customHeight="1">
      <x:c r="A28" s="2" t="str">
        <x:v>Изделий в партии, шт.</x:v>
      </x:c>
      <x:c r="B28" s="14"/>
      <x:c r="C28" s="2"/>
      <x:c r="D28" s="13"/>
      <x:c r="E28" s="13"/>
      <x:c r="F28" s="13"/>
      <x:c r="G28" s="2"/>
    </x:row>
    <x:row r="29" ht="23" customHeight="1">
      <x:c r="A29" s="2" t="str">
        <x:v>Выход выпечки партии, г</x:v>
      </x:c>
      <x:c r="B29" s="14"/>
      <x:c r="C29" s="2"/>
      <x:c r="D29" s="13" t="str">
        <x:v>Взвесьте готовую остывшую партию без упаковки.</x:v>
      </x:c>
      <x:c r="E29" s="13"/>
      <x:c r="F29" s="13"/>
      <x:c r="G29" s="2"/>
    </x:row>
    <x:row r="30" ht="23" customHeight="1">
      <x:c r="A30" s="15" t="str">
        <x:v>Статус расчёта</x:v>
      </x:c>
      <x:c r="B30" s="15" t="str">
        <x:f>IF(AND(B27="Да",COUNT(B28:B29)=2,B28&gt;0,B29&gt;0,MOD(B28,1)=0,ISNUMBER(B26)),"Готово","Нужны данные")</x:f>
        <x:v>Нужны данные</x:v>
      </x:c>
      <x:c r="C30" s="2"/>
      <x:c r="D30" s="13"/>
      <x:c r="E30" s="13"/>
      <x:c r="F30" s="13"/>
      <x:c r="G30" s="2"/>
    </x:row>
    <x:row r="31" ht="23" customHeight="1">
      <x:c r="A31" s="15" t="str">
        <x:v>Сырьё на изделие, ₽</x:v>
      </x:c>
      <x:c r="B31" s="16" t="str">
        <x:f>IF(B30="Готово",B26/B28,"")</x:f>
      </x:c>
      <x:c r="C31" s="2"/>
      <x:c r="D31" s="13"/>
      <x:c r="E31" s="13"/>
      <x:c r="F31" s="13"/>
      <x:c r="G31" s="2"/>
    </x:row>
    <x:row r="32" ht="23" customHeight="1">
      <x:c r="A32" s="15" t="str">
        <x:v>Масса изделия, г</x:v>
      </x:c>
      <x:c r="B32" s="16" t="str">
        <x:f>IF(B30="Готово",B29/B28,"")</x:f>
      </x:c>
      <x:c r="C32" s="2"/>
      <x:c r="D32" s="13"/>
      <x:c r="E32" s="13"/>
      <x:c r="F32" s="13"/>
      <x:c r="G32" s="2"/>
    </x:row>
    <x:row r="33" ht="23" customHeight="1">
      <x:c r="A33" s="2"/>
      <x:c r="B33" s="2"/>
      <x:c r="C33" s="2"/>
      <x:c r="D33" s="2"/>
      <x:c r="E33" s="2"/>
      <x:c r="F33" s="2"/>
      <x:c r="G33" s="2"/>
    </x:row>
    <x:row r="34" ht="23" customHeight="1">
      <x:c r="A34" s="2" t="str">
        <x:v>2292 г — сумма сырья исходника, а не выход готового киша.</x:v>
      </x:c>
      <x:c r="B34" s="2"/>
      <x:c r="C34" s="2"/>
      <x:c r="D34" s="2"/>
      <x:c r="E34" s="2"/>
      <x:c r="F34" s="2"/>
      <x:c r="G34" s="2"/>
    </x:row>
    <x:row r="35" ht="23" customHeight="1">
      <x:c r="A35" s="2"/>
      <x:c r="B35" s="2"/>
      <x:c r="C35" s="2"/>
      <x:c r="D35" s="2"/>
      <x:c r="E35" s="2"/>
      <x:c r="F35" s="2"/>
      <x:c r="G35" s="2"/>
    </x:row>
    <x:row r="36" ht="23" customHeight="1">
      <x:c r="A36" s="2"/>
      <x:c r="B36" s="2"/>
      <x:c r="C36" s="2"/>
      <x:c r="D36" s="2"/>
      <x:c r="E36" s="2"/>
      <x:c r="F36" s="2"/>
      <x:c r="G36" s="2"/>
    </x:row>
  </x:sheetData>
  <x:conditionalFormatting sqref="B30:B30">
    <x:cfRule type="expression" dxfId="0" priority="1">
      <x:formula>B30&lt;&gt;"Готово"</x:formula>
    </x:cfRule>
  </x:conditionalFormatting>
  <x:dataValidations count="4">
    <x:dataValidation type="decimal" operator="greaterThanOrEqual" sqref="D7:E22">
      <x:formula1>0</x:formula1>
    </x:dataValidation>
    <x:dataValidation type="list" sqref="B27">
      <x:formula1>"Нет,Да"</x:formula1>
    </x:dataValidation>
    <x:dataValidation type="whole" operator="greaterThan" sqref="B28">
      <x:formula1>0</x:formula1>
    </x:dataValidation>
    <x:dataValidation type="decimal" operator="greaterThanOrEqual" sqref="B29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6" hidden="0" customWidth="1"/>
    <x:col min="5" max="5" width="17" hidden="0" customWidth="1"/>
    <x:col min="6" max="6" width="17" hidden="0" customWidth="1"/>
    <x:col min="7" max="7" width="3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Картофыджын: картофель и сыр</x:v>
      </x:c>
      <x:c r="B2" s="2"/>
      <x:c r="C2" s="2"/>
      <x:c r="D2" s="2"/>
      <x:c r="E2" s="2"/>
      <x:c r="F2" s="2"/>
      <x:c r="G2" s="2"/>
    </x:row>
    <x:row r="3" ht="23" customHeight="1">
      <x:c r="A3" s="4" t="str">
        <x:v>K01 · источник и замечания — в «Подборке»</x:v>
      </x:c>
      <x:c r="B3" s="2"/>
      <x:c r="C3" s="2"/>
      <x:c r="D3" s="2"/>
      <x:c r="E3" s="2"/>
      <x:c r="F3" s="2"/>
      <x:c r="G3" s="2"/>
    </x:row>
    <x:row r="4" ht="23" customHeight="1">
      <x:c r="A4" s="2" t="str">
        <x:v>Жёлтые поля: закупочная масса в граммах и цена за кг из накладной.</x:v>
      </x:c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34" customHeight="1">
      <x:c r="A6" s="8" t="str">
        <x:v>Ингредиент</x:v>
      </x:c>
      <x:c r="B6" s="8" t="str">
        <x:v>Брутто источника</x:v>
      </x:c>
      <x:c r="C6" s="8" t="str">
        <x:v>Нетто источника</x:v>
      </x:c>
      <x:c r="D6" s="8" t="str">
        <x:v>В закупку, г</x:v>
      </x:c>
      <x:c r="E6" s="8" t="str">
        <x:v>Цена за кг, ₽</x:v>
      </x:c>
      <x:c r="F6" s="8" t="str">
        <x:v>Сумма, ₽</x:v>
      </x:c>
      <x:c r="G6" s="8" t="str">
        <x:v>Основание цены / правки</x:v>
      </x:c>
    </x:row>
    <x:row r="7" ht="35" customHeight="1">
      <x:c r="A7" s="11" t="str">
        <x:v>Молоко (или вода)</x:v>
      </x:c>
      <x:c r="B7" s="11" t="str">
        <x:v>0,5 л</x:v>
      </x:c>
      <x:c r="C7" s="11" t="str">
        <x:v>0,5 л</x:v>
      </x:c>
      <x:c r="D7" s="12"/>
      <x:c r="E7" s="12"/>
      <x:c r="F7" s="13" t="str">
        <x:f>IF(A7="","",IF(NOT(ISNUMBER(D7)),"",IF(D7&lt;0,"",IF(D7=0,0,IF(AND(ISNUMBER(E7),E7&gt;=0),D7/1000*E7,"")))))</x:f>
      </x:c>
      <x:c r="G7" s="10"/>
    </x:row>
    <x:row r="8" ht="35" customHeight="1">
      <x:c r="A8" s="11" t="str">
        <x:v>Соль</x:v>
      </x:c>
      <x:c r="B8" s="11" t="str">
        <x:v>1 ч. л.</x:v>
      </x:c>
      <x:c r="C8" s="11" t="str">
        <x:v>1 ч. л.</x:v>
      </x:c>
      <x:c r="D8" s="12"/>
      <x:c r="E8" s="12"/>
      <x:c r="F8" s="13" t="str">
        <x:f>IF(A8="","",IF(NOT(ISNUMBER(D8)),"",IF(D8&lt;0,"",IF(D8=0,0,IF(AND(ISNUMBER(E8),E8&gt;=0),D8/1000*E8,"")))))</x:f>
      </x:c>
      <x:c r="G8" s="10"/>
    </x:row>
    <x:row r="9" ht="35" customHeight="1">
      <x:c r="A9" s="11" t="str">
        <x:v>Сахар</x:v>
      </x:c>
      <x:c r="B9" s="11" t="str">
        <x:v>1 ч. л.</x:v>
      </x:c>
      <x:c r="C9" s="11" t="str">
        <x:v>1 ч. л.</x:v>
      </x:c>
      <x:c r="D9" s="12"/>
      <x:c r="E9" s="12"/>
      <x:c r="F9" s="13" t="str">
        <x:f>IF(A9="","",IF(NOT(ISNUMBER(D9)),"",IF(D9&lt;0,"",IF(D9=0,0,IF(AND(ISNUMBER(E9),E9&gt;=0),D9/1000*E9,"")))))</x:f>
      </x:c>
      <x:c r="G9" s="10"/>
    </x:row>
    <x:row r="10" ht="35" customHeight="1">
      <x:c r="A10" s="11" t="str">
        <x:v>Мука пшеничная/Мука</x:v>
      </x:c>
      <x:c r="B10" s="11" t="str">
        <x:v>4 стак.</x:v>
      </x:c>
      <x:c r="C10" s="11" t="str">
        <x:v>3,5 стак.</x:v>
      </x:c>
      <x:c r="D10" s="12"/>
      <x:c r="E10" s="12"/>
      <x:c r="F10" s="13" t="str">
        <x:f>IF(A10="","",IF(NOT(ISNUMBER(D10)),"",IF(D10&lt;0,"",IF(D10=0,0,IF(AND(ISNUMBER(E10),E10&gt;=0),D10/1000*E10,"")))))</x:f>
      </x:c>
      <x:c r="G10" s="10"/>
    </x:row>
    <x:row r="11" ht="35" customHeight="1">
      <x:c r="A11" s="11" t="str">
        <x:v>Картофель</x:v>
      </x:c>
      <x:c r="B11" s="11" t="str">
        <x:v>1 кг</x:v>
      </x:c>
      <x:c r="C11" s="11" t="str">
        <x:v>0,95 кг</x:v>
      </x:c>
      <x:c r="D11" s="12" t="n">
        <x:v>1000</x:v>
      </x:c>
      <x:c r="E11" s="12"/>
      <x:c r="F11" s="13" t="str">
        <x:f>IF(A11="","",IF(NOT(ISNUMBER(D11)),"",IF(D11&lt;0,"",IF(D11=0,0,IF(AND(ISNUMBER(E11),E11&gt;=0),D11/1000*E11,"")))))</x:f>
      </x:c>
      <x:c r="G11" s="10"/>
    </x:row>
    <x:row r="12" ht="35" customHeight="1">
      <x:c r="A12" s="11" t="str">
        <x:v>Лук репчатый</x:v>
      </x:c>
      <x:c r="B12" s="11" t="str">
        <x:v>2 шт</x:v>
      </x:c>
      <x:c r="C12" s="11" t="str">
        <x:v>2 шт</x:v>
      </x:c>
      <x:c r="D12" s="12"/>
      <x:c r="E12" s="12"/>
      <x:c r="F12" s="13" t="str">
        <x:f>IF(A12="","",IF(NOT(ISNUMBER(D12)),"",IF(D12&lt;0,"",IF(D12=0,0,IF(AND(ISNUMBER(E12),E12&gt;=0),D12/1000*E12,"")))))</x:f>
      </x:c>
      <x:c r="G12" s="10"/>
    </x:row>
    <x:row r="13" ht="35" customHeight="1">
      <x:c r="A13" s="11" t="str">
        <x:v>Сыр сулугуни</x:v>
      </x:c>
      <x:c r="B13" s="11" t="str">
        <x:v>600-700 г</x:v>
      </x:c>
      <x:c r="C13" s="11" t="str">
        <x:v>600-700 г</x:v>
      </x:c>
      <x:c r="D13" s="12"/>
      <x:c r="E13" s="12"/>
      <x:c r="F13" s="13" t="str">
        <x:f>IF(A13="","",IF(NOT(ISNUMBER(D13)),"",IF(D13&lt;0,"",IF(D13=0,0,IF(AND(ISNUMBER(E13),E13&gt;=0),D13/1000*E13,"")))))</x:f>
      </x:c>
      <x:c r="G13" s="10"/>
    </x:row>
    <x:row r="14" ht="35" customHeight="1">
      <x:c r="A14" s="11" t="str">
        <x:v>Масло растительное</x:v>
      </x:c>
      <x:c r="B14" s="11" t="str">
        <x:v>2 ст. л.</x:v>
      </x:c>
      <x:c r="C14" s="11" t="str">
        <x:v>1,8 ст. л.</x:v>
      </x:c>
      <x:c r="D14" s="12"/>
      <x:c r="E14" s="12"/>
      <x:c r="F14" s="13" t="str">
        <x:f>IF(A14="","",IF(NOT(ISNUMBER(D14)),"",IF(D14&lt;0,"",IF(D14=0,0,IF(AND(ISNUMBER(E14),E14&gt;=0),D14/1000*E14,"")))))</x:f>
      </x:c>
      <x:c r="G14" s="10"/>
    </x:row>
    <x:row r="15" ht="35" customHeight="1">
      <x:c r="A15" s="11" t="str">
        <x:v>Масло сливочное</x:v>
      </x:c>
      <x:c r="B15" s="11" t="str">
        <x:v>50 г</x:v>
      </x:c>
      <x:c r="C15" s="11" t="str">
        <x:v>45 г</x:v>
      </x:c>
      <x:c r="D15" s="12" t="n">
        <x:v>50</x:v>
      </x:c>
      <x:c r="E15" s="12"/>
      <x:c r="F15" s="13" t="str">
        <x:f>IF(A15="","",IF(NOT(ISNUMBER(D15)),"",IF(D15&lt;0,"",IF(D15=0,0,IF(AND(ISNUMBER(E15),E15&gt;=0),D15/1000*E15,"")))))</x:f>
      </x:c>
      <x:c r="G15" s="10"/>
    </x:row>
    <x:row r="16" ht="35" customHeight="1">
      <x:c r="A16" s="11" t="str">
        <x:v>Дрожжи — уточнить вид и дозу</x:v>
      </x:c>
      <x:c r="B16" s="11" t="str">
        <x:v>Не указано</x:v>
      </x:c>
      <x:c r="C16" s="11" t="str">
        <x:v>Не указано</x:v>
      </x:c>
      <x:c r="D16" s="12"/>
      <x:c r="E16" s="12"/>
      <x:c r="F16" s="13" t="str">
        <x:f>IF(A16="","",IF(NOT(ISNUMBER(D16)),"",IF(D16&lt;0,"",IF(D16=0,0,IF(AND(ISNUMBER(E16),E16&gt;=0),D16/1000*E16,"")))))</x:f>
      </x:c>
      <x:c r="G16" s="10" t="str">
        <x:v>Есть в описании, нет в закладке</x:v>
      </x:c>
    </x:row>
    <x:row r="17" ht="35" customHeight="1">
      <x:c r="A17" s="11"/>
      <x:c r="B17" s="11"/>
      <x:c r="C17" s="11"/>
      <x:c r="D17" s="12"/>
      <x:c r="E17" s="12"/>
      <x:c r="F17" s="13" t="str">
        <x:f>IF(A17="","",IF(NOT(ISNUMBER(D17)),"",IF(D17&lt;0,"",IF(D17=0,0,IF(AND(ISNUMBER(E17),E17&gt;=0),D17/1000*E17,"")))))</x:f>
      </x:c>
      <x:c r="G17" s="10"/>
    </x:row>
    <x:row r="18" ht="35" customHeight="1">
      <x:c r="A18" s="11"/>
      <x:c r="B18" s="11"/>
      <x:c r="C18" s="11"/>
      <x:c r="D18" s="12"/>
      <x:c r="E18" s="12"/>
      <x:c r="F18" s="13" t="str">
        <x:f>IF(A18="","",IF(NOT(ISNUMBER(D18)),"",IF(D18&lt;0,"",IF(D18=0,0,IF(AND(ISNUMBER(E18),E18&gt;=0),D18/1000*E18,"")))))</x:f>
      </x:c>
      <x:c r="G18" s="10"/>
    </x:row>
    <x:row r="19" ht="35" customHeight="1">
      <x:c r="A19" s="11"/>
      <x:c r="B19" s="11"/>
      <x:c r="C19" s="11"/>
      <x:c r="D19" s="12"/>
      <x:c r="E19" s="12"/>
      <x:c r="F19" s="13" t="str">
        <x:f>IF(A19="","",IF(NOT(ISNUMBER(D19)),"",IF(D19&lt;0,"",IF(D19=0,0,IF(AND(ISNUMBER(E19),E19&gt;=0),D19/1000*E19,"")))))</x:f>
      </x:c>
      <x:c r="G19" s="10"/>
    </x:row>
    <x:row r="20" ht="35" customHeight="1">
      <x:c r="A20" s="11"/>
      <x:c r="B20" s="11"/>
      <x:c r="C20" s="11"/>
      <x:c r="D20" s="12"/>
      <x:c r="E20" s="12"/>
      <x:c r="F20" s="13" t="str">
        <x:f>IF(A20="","",IF(NOT(ISNUMBER(D20)),"",IF(D20&lt;0,"",IF(D20=0,0,IF(AND(ISNUMBER(E20),E20&gt;=0),D20/1000*E20,"")))))</x:f>
      </x:c>
      <x:c r="G20" s="10"/>
    </x:row>
    <x:row r="21" ht="35" customHeight="1">
      <x:c r="A21" s="11"/>
      <x:c r="B21" s="11"/>
      <x:c r="C21" s="11"/>
      <x:c r="D21" s="12"/>
      <x:c r="E21" s="12"/>
      <x:c r="F21" s="13" t="str">
        <x:f>IF(A21="","",IF(NOT(ISNUMBER(D21)),"",IF(D21&lt;0,"",IF(D21=0,0,IF(AND(ISNUMBER(E21),E21&gt;=0),D21/1000*E21,"")))))</x:f>
      </x:c>
      <x:c r="G21" s="10"/>
    </x:row>
    <x:row r="22" ht="35" customHeight="1">
      <x:c r="A22" s="11"/>
      <x:c r="B22" s="11"/>
      <x:c r="C22" s="11"/>
      <x:c r="D22" s="12"/>
      <x:c r="E22" s="12"/>
      <x:c r="F22" s="13" t="str">
        <x:f>IF(A22="","",IF(NOT(ISNUMBER(D22)),"",IF(D22&lt;0,"",IF(D22=0,0,IF(AND(ISNUMBER(E22),E22&gt;=0),D22/1000*E22,"")))))</x:f>
      </x:c>
      <x:c r="G22" s="10"/>
    </x:row>
    <x:row r="23" ht="23" customHeight="1">
      <x:c r="A23" s="2"/>
      <x:c r="B23" s="2"/>
      <x:c r="C23" s="2"/>
      <x:c r="D23" s="13"/>
      <x:c r="E23" s="13"/>
      <x:c r="F23" s="13"/>
      <x:c r="G23" s="2"/>
    </x:row>
    <x:row r="24" ht="23" customHeight="1">
      <x:c r="A24" s="2"/>
      <x:c r="B24" s="2"/>
      <x:c r="C24" s="2"/>
      <x:c r="D24" s="13"/>
      <x:c r="E24" s="13"/>
      <x:c r="F24" s="13"/>
      <x:c r="G24" s="2"/>
    </x:row>
    <x:row r="25" ht="23" customHeight="1">
      <x:c r="A25" s="2" t="str">
        <x:v>Сумма закладок, г</x:v>
      </x:c>
      <x:c r="B25" s="13" t="str">
        <x:f>IF(COUNT(D7:D22)=COUNTA(A7:A22),SUM(D7:D22),"")</x:f>
      </x:c>
      <x:c r="C25" s="2"/>
      <x:c r="D25" s="13" t="str">
        <x:v>Брутто используется для закупки; нетто — для сверки потерь.</x:v>
      </x:c>
      <x:c r="E25" s="13"/>
      <x:c r="F25" s="13"/>
      <x:c r="G25" s="2"/>
    </x:row>
    <x:row r="26" ht="23" customHeight="1">
      <x:c r="A26" s="2" t="str">
        <x:v>Сырьё на партию, ₽</x:v>
      </x:c>
      <x:c r="B26" s="13" t="str">
        <x:f>IF(COUNT(F7:F22)=COUNTA(A7:A22),SUM(F7:F22),"")</x:f>
      </x:c>
      <x:c r="C26" s="2"/>
      <x:c r="D26" s="13"/>
      <x:c r="E26" s="13"/>
      <x:c r="F26" s="13"/>
      <x:c r="G26" s="2"/>
    </x:row>
    <x:row r="27" ht="23" customHeight="1">
      <x:c r="A27" s="2" t="str">
        <x:v>Рецептура проверена</x:v>
      </x:c>
      <x:c r="B27" s="10" t="str">
        <x:v>Нет</x:v>
      </x:c>
      <x:c r="C27" s="2"/>
      <x:c r="D27" s="13" t="str">
        <x:v>«Да» — после устранения пробелов и контрольной выпечки.</x:v>
      </x:c>
      <x:c r="E27" s="13"/>
      <x:c r="F27" s="13"/>
      <x:c r="G27" s="2"/>
    </x:row>
    <x:row r="28" ht="23" customHeight="1">
      <x:c r="A28" s="2" t="str">
        <x:v>Изделий в партии, шт.</x:v>
      </x:c>
      <x:c r="B28" s="14" t="n">
        <x:v>3</x:v>
      </x:c>
      <x:c r="C28" s="2"/>
      <x:c r="D28" s="13"/>
      <x:c r="E28" s="13"/>
      <x:c r="F28" s="13"/>
      <x:c r="G28" s="2"/>
    </x:row>
    <x:row r="29" ht="23" customHeight="1">
      <x:c r="A29" s="2" t="str">
        <x:v>Выход выпечки партии, г</x:v>
      </x:c>
      <x:c r="B29" s="14"/>
      <x:c r="C29" s="2"/>
      <x:c r="D29" s="13" t="str">
        <x:v>Взвесьте готовую остывшую партию без упаковки.</x:v>
      </x:c>
      <x:c r="E29" s="13"/>
      <x:c r="F29" s="13"/>
      <x:c r="G29" s="2"/>
    </x:row>
    <x:row r="30" ht="23" customHeight="1">
      <x:c r="A30" s="15" t="str">
        <x:v>Статус расчёта</x:v>
      </x:c>
      <x:c r="B30" s="15" t="str">
        <x:f>IF(AND(B27="Да",COUNT(B28:B29)=2,B28&gt;0,B29&gt;0,MOD(B28,1)=0,ISNUMBER(B26)),"Готово","Нужны данные")</x:f>
        <x:v>Нужны данные</x:v>
      </x:c>
      <x:c r="C30" s="2"/>
      <x:c r="D30" s="13"/>
      <x:c r="E30" s="13"/>
      <x:c r="F30" s="13"/>
      <x:c r="G30" s="2"/>
    </x:row>
    <x:row r="31" ht="23" customHeight="1">
      <x:c r="A31" s="15" t="str">
        <x:v>Сырьё на изделие, ₽</x:v>
      </x:c>
      <x:c r="B31" s="16" t="str">
        <x:f>IF(B30="Готово",B26/B28,"")</x:f>
      </x:c>
      <x:c r="C31" s="2"/>
      <x:c r="D31" s="13"/>
      <x:c r="E31" s="13"/>
      <x:c r="F31" s="13"/>
      <x:c r="G31" s="2"/>
    </x:row>
    <x:row r="32" ht="23" customHeight="1">
      <x:c r="A32" s="15" t="str">
        <x:v>Масса изделия, г</x:v>
      </x:c>
      <x:c r="B32" s="16" t="str">
        <x:f>IF(B30="Готово",B29/B28,"")</x:f>
      </x:c>
      <x:c r="C32" s="2"/>
      <x:c r="D32" s="13"/>
      <x:c r="E32" s="13"/>
      <x:c r="F32" s="13"/>
      <x:c r="G32" s="2"/>
    </x:row>
    <x:row r="33" ht="23" customHeight="1">
      <x:c r="A33" s="2"/>
      <x:c r="B33" s="2"/>
      <x:c r="C33" s="2"/>
      <x:c r="D33" s="2"/>
      <x:c r="E33" s="2"/>
      <x:c r="F33" s="2"/>
      <x:c r="G33" s="2"/>
    </x:row>
    <x:row r="34" ht="23" customHeight="1">
      <x:c r="A34" s="2" t="str">
        <x:v>Ложки, стаканы, штуки и 600–700 г сыра нужно перевести в точную закладку.</x:v>
      </x:c>
      <x:c r="B34" s="2"/>
      <x:c r="C34" s="2"/>
      <x:c r="D34" s="2"/>
      <x:c r="E34" s="2"/>
      <x:c r="F34" s="2"/>
      <x:c r="G34" s="2"/>
    </x:row>
    <x:row r="35" ht="23" customHeight="1">
      <x:c r="A35" s="2"/>
      <x:c r="B35" s="2"/>
      <x:c r="C35" s="2"/>
      <x:c r="D35" s="2"/>
      <x:c r="E35" s="2"/>
      <x:c r="F35" s="2"/>
      <x:c r="G35" s="2"/>
    </x:row>
    <x:row r="36" ht="23" customHeight="1">
      <x:c r="A36" s="2"/>
      <x:c r="B36" s="2"/>
      <x:c r="C36" s="2"/>
      <x:c r="D36" s="2"/>
      <x:c r="E36" s="2"/>
      <x:c r="F36" s="2"/>
      <x:c r="G36" s="2"/>
    </x:row>
  </x:sheetData>
  <x:conditionalFormatting sqref="B30:B30">
    <x:cfRule type="expression" dxfId="1" priority="1">
      <x:formula>B30&lt;&gt;"Готово"</x:formula>
    </x:cfRule>
  </x:conditionalFormatting>
  <x:dataValidations count="4">
    <x:dataValidation type="decimal" operator="greaterThanOrEqual" sqref="D7:E22">
      <x:formula1>0</x:formula1>
    </x:dataValidation>
    <x:dataValidation type="list" sqref="B27">
      <x:formula1>"Нет,Да"</x:formula1>
    </x:dataValidation>
    <x:dataValidation type="whole" operator="greaterThan" sqref="B28">
      <x:formula1>0</x:formula1>
    </x:dataValidation>
    <x:dataValidation type="decimal" operator="greaterThanOrEqual" sqref="B29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22" hidden="0" customWidth="1"/>
    <x:col min="4" max="4" width="57" hidden="0" customWidth="1"/>
    <x:col min="5" max="5" width="70" hidden="0" customWidth="1"/>
    <x:col min="6" max="6" width="1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Техкарты и инструменты · проверка 29.10.2026</x:v>
      </x:c>
      <x:c r="B2" s="2"/>
      <x:c r="C2" s="2"/>
      <x:c r="D2" s="2"/>
      <x:c r="E2" s="2"/>
      <x:c r="F2" s="2"/>
    </x:row>
    <x:row r="3" ht="23" customHeight="1">
      <x:c r="A3" s="4" t="str">
        <x:v>12 открытых карт. Исходники для проработки; закупочные цены в них не подтверждены.</x:v>
      </x:c>
      <x:c r="B3" s="2"/>
      <x:c r="C3" s="2"/>
      <x:c r="D3" s="2"/>
      <x:c r="E3" s="2"/>
      <x:c r="F3" s="2"/>
    </x:row>
    <x:row r="4" ht="23" customHeight="1">
      <x:c r="A4" s="2"/>
      <x:c r="B4" s="2"/>
      <x:c r="C4" s="2"/>
      <x:c r="D4" s="2"/>
      <x:c r="E4" s="2"/>
      <x:c r="F4" s="2"/>
    </x:row>
    <x:row r="5" ht="34" customHeight="1">
      <x:c r="A5" s="8" t="str">
        <x:v>ID</x:v>
      </x:c>
      <x:c r="B5" s="8" t="str">
        <x:v>Рецептура / сервис</x:v>
      </x:c>
      <x:c r="C5" s="8" t="str">
        <x:v>Доступ / цена</x:v>
      </x:c>
      <x:c r="D5" s="8" t="str">
        <x:v>Что проверить</x:v>
      </x:c>
      <x:c r="E5" s="8" t="str">
        <x:v>Источник</x:v>
      </x:c>
      <x:c r="F5" s="8" t="str">
        <x:v>Проверено</x:v>
      </x:c>
    </x:row>
    <x:row r="6" ht="52" customHeight="1">
      <x:c r="A6" s="2" t="str">
        <x:v>K01</x:v>
      </x:c>
      <x:c r="B6" s="11" t="str">
        <x:v>Картофыджын: картофель и сыр</x:v>
      </x:c>
      <x:c r="C6" s="11" t="str">
        <x:v>Открытая страница</x:v>
      </x:c>
      <x:c r="D6" s="11" t="str">
        <x:v>Ложки, стаканы, штуки; диапазон сыра; нет массы дрожжей и выхода.</x:v>
      </x:c>
      <x:c r="E6" s="11" t="str">
        <x:v>https://tekhnolog-ttk.ru/osetinskie-pirogi-kartofydzhyn-ttk_14026/</x:v>
      </x:c>
      <x:c r="F6" s="2" t="str">
        <x:v>29.10.2026</x:v>
      </x:c>
    </x:row>
    <x:row r="7" ht="52" customHeight="1">
      <x:c r="A7" s="2" t="str">
        <x:v>K02</x:v>
      </x:c>
      <x:c r="B7" s="11" t="str">
        <x:v>Осетинский пирог с сыром и творогом</x:v>
      </x:c>
      <x:c r="C7" s="11" t="str">
        <x:v>Открытая страница</x:v>
      </x:c>
      <x:c r="D7" s="11" t="str">
        <x:v>Ложки и штуки; у масла, зелени и перца нет количества; выход не подтверждён.</x:v>
      </x:c>
      <x:c r="E7" s="11" t="str">
        <x:v>https://tekhnolog-ttk.ru/osetinskie-pirogi-s-syrom-i-tvorogom-ttk_14294/</x:v>
      </x:c>
      <x:c r="F7" s="2" t="str">
        <x:v>29.10.2026</x:v>
      </x:c>
    </x:row>
    <x:row r="8" ht="52" customHeight="1">
      <x:c r="A8" s="2" t="str">
        <x:v>K03</x:v>
      </x:c>
      <x:c r="B8" s="11" t="str">
        <x:v>Олибах, осетинский пирог</x:v>
      </x:c>
      <x:c r="C8" s="11" t="str">
        <x:v>Открытая страница</x:v>
      </x:c>
      <x:c r="D8" s="11" t="str">
        <x:v>Брутто смешивает граммы, стаканы и штуки; выход не подтверждён.</x:v>
      </x:c>
      <x:c r="E8" s="11" t="str">
        <x:v>https://tekhnolog-ttk.ru/olibah-osetinskiy-pirog-ttk_5096/</x:v>
      </x:c>
      <x:c r="F8" s="2" t="str">
        <x:v>29.10.2026</x:v>
      </x:c>
    </x:row>
    <x:row r="9" ht="52" customHeight="1">
      <x:c r="A9" s="2" t="str">
        <x:v>K04</x:v>
      </x:c>
      <x:c r="B9" s="11" t="str">
        <x:v>Кабускаджын: капустный пирог</x:v>
      </x:c>
      <x:c r="C9" s="11" t="str">
        <x:v>Открытая страница</x:v>
      </x:c>
      <x:c r="D9" s="11" t="str">
        <x:v>Закладки в граммах; сверить дозу дрожжей в описании, замерить выход.</x:v>
      </x:c>
      <x:c r="E9" s="11" t="str">
        <x:v>https://tekhnolog-ttk.ru/a-lya-osetinskie-pirogi-kabuskadzhyn-ttk_4968/</x:v>
      </x:c>
      <x:c r="F9" s="2" t="str">
        <x:v>29.10.2026</x:v>
      </x:c>
    </x:row>
    <x:row r="10" ht="52" customHeight="1">
      <x:c r="A10" s="2" t="str">
        <x:v>K05</x:v>
      </x:c>
      <x:c r="B10" s="11" t="str">
        <x:v>Осетинские пироги, базовая карта</x:v>
      </x:c>
      <x:c r="C10" s="11" t="str">
        <x:v>Открытая страница</x:v>
      </x:c>
      <x:c r="D10" s="11" t="str">
        <x:v>Яйцо 3 и желток 4 под заголовком «г»; вода упомянута без закладки. Спорно.</x:v>
      </x:c>
      <x:c r="E10" s="11" t="str">
        <x:v>https://tekhnolog-ttk.ru/osetinskie-pirogi-ttk_12523/</x:v>
      </x:c>
      <x:c r="F10" s="2" t="str">
        <x:v>29.10.2026</x:v>
      </x:c>
    </x:row>
    <x:row r="11" ht="52" customHeight="1">
      <x:c r="A11" s="2" t="str">
        <x:v>Q01</x:v>
      </x:c>
      <x:c r="B11" s="11" t="str">
        <x:v>Киш с брокколи и фетой</x:v>
      </x:c>
      <x:c r="C11" s="11" t="str">
        <x:v>Открытая страница</x:v>
      </x:c>
      <x:c r="D11" s="11" t="str">
        <x:v>Нет выхода; вода есть в описании без количества; закладку феты сверить.</x:v>
      </x:c>
      <x:c r="E11" s="11" t="str">
        <x:v>https://tekhnolog.com/2024/09/25/kish-s-brokkoli-i-syrom-feta-ttk9360/</x:v>
      </x:c>
      <x:c r="F11" s="2" t="str">
        <x:v>29.10.2026</x:v>
      </x:c>
    </x:row>
    <x:row r="12" ht="52" customHeight="1">
      <x:c r="A12" s="2" t="str">
        <x:v>Q02</x:v>
      </x:c>
      <x:c r="B12" s="11" t="str">
        <x:v>Киш с брокколи и лососем</x:v>
      </x:c>
      <x:c r="C12" s="11" t="str">
        <x:v>Открытая страница</x:v>
      </x:c>
      <x:c r="D12" s="11" t="str">
        <x:v>Яйца, желтки и половина лайма под заголовком «г»; единицы требуют сверки.</x:v>
      </x:c>
      <x:c r="E12" s="11" t="str">
        <x:v>https://tekhnolog-ttk.ru/kish-s-brokkoli-i-lososem-ttk_4885/</x:v>
      </x:c>
      <x:c r="F12" s="2" t="str">
        <x:v>29.10.2026</x:v>
      </x:c>
    </x:row>
    <x:row r="13" ht="52" customHeight="1">
      <x:c r="A13" s="2" t="str">
        <x:v>Q03</x:v>
      </x:c>
      <x:c r="B13" s="11" t="str">
        <x:v>Киш с грибами и помидорами</x:v>
      </x:c>
      <x:c r="C13" s="11" t="str">
        <x:v>Открытая страница</x:v>
      </x:c>
      <x:c r="D13" s="11" t="str">
        <x:v>Специи «по вкусу»; выход не подтверждён.</x:v>
      </x:c>
      <x:c r="E13" s="11" t="str">
        <x:v>https://tekhnolog.com/2024/09/25/kish-s-gribami-i-pomidorami-ttk11021/</x:v>
      </x:c>
      <x:c r="F13" s="2" t="str">
        <x:v>29.10.2026</x:v>
      </x:c>
    </x:row>
    <x:row r="14" ht="52" customHeight="1">
      <x:c r="A14" s="2" t="str">
        <x:v>Q04</x:v>
      </x:c>
      <x:c r="B14" s="11" t="str">
        <x:v>Киш со шпинатом</x:v>
      </x:c>
      <x:c r="C14" s="11" t="str">
        <x:v>Открытая страница</x:v>
      </x:c>
      <x:c r="D14" s="11" t="str">
        <x:v>Перец 100 г, в составе килька; вода без количества. Не использовать до проверки.</x:v>
      </x:c>
      <x:c r="E14" s="11" t="str">
        <x:v>https://tekhnolog.com/2024/09/07/kish-so-shpinatom-ttk8432/</x:v>
      </x:c>
      <x:c r="F14" s="2" t="str">
        <x:v>29.10.2026</x:v>
      </x:c>
    </x:row>
    <x:row r="15" ht="52" customHeight="1">
      <x:c r="A15" s="2" t="str">
        <x:v>Q05</x:v>
      </x:c>
      <x:c r="B15" s="11" t="str">
        <x:v>Киш с грибами и карбонадом</x:v>
      </x:c>
      <x:c r="C15" s="11" t="str">
        <x:v>Открытая страница</x:v>
      </x:c>
      <x:c r="D15" s="11" t="str">
        <x:v>Смешаны граммы, штуки, ложки и щепотки; нет точной дозы соли и выхода.</x:v>
      </x:c>
      <x:c r="E15" s="11" t="str">
        <x:v>https://tekhnolog.com/2024/09/25/kish-s-gribami-i-karbonadom-ttk9361/</x:v>
      </x:c>
      <x:c r="F15" s="2" t="str">
        <x:v>29.10.2026</x:v>
      </x:c>
    </x:row>
    <x:row r="16" ht="52" customHeight="1">
      <x:c r="A16" s="2" t="str">
        <x:v>Q06</x:v>
      </x:c>
      <x:c r="B16" s="11" t="str">
        <x:v>Киш с луком</x:v>
      </x:c>
      <x:c r="C16" s="11" t="str">
        <x:v>Открытая страница</x:v>
      </x:c>
      <x:c r="D16" s="11" t="str">
        <x:v>Диапазон масла, штуки под заголовком «г», специи без граммовок.</x:v>
      </x:c>
      <x:c r="E16" s="11" t="str">
        <x:v>https://tekhnolog.com/2024/09/25/kish-s-lukom-ttk11023/</x:v>
      </x:c>
      <x:c r="F16" s="2" t="str">
        <x:v>29.10.2026</x:v>
      </x:c>
    </x:row>
    <x:row r="17" ht="52" customHeight="1">
      <x:c r="A17" s="2" t="str">
        <x:v>Q07</x:v>
      </x:c>
      <x:c r="B17" s="11" t="str">
        <x:v>Киш с зеленью</x:v>
      </x:c>
      <x:c r="C17" s="11" t="str">
        <x:v>Открытая страница</x:v>
      </x:c>
      <x:c r="D17" s="11" t="str">
        <x:v>Закладки в граммах; нужен фактический выход пробной партии.</x:v>
      </x:c>
      <x:c r="E17" s="11" t="str">
        <x:v>https://tekhnolog.com/2024/09/25/kish-s-zelenyu-ttk11022/</x:v>
      </x:c>
      <x:c r="F17" s="2" t="str">
        <x:v>29.10.2026</x:v>
      </x:c>
    </x:row>
    <x:row r="18" ht="52" customHeight="1">
      <x:c r="A18" s="2" t="str">
        <x:v>P01</x:v>
      </x:c>
      <x:c r="B18" s="11" t="str">
        <x:v>Готовый пирог: картофель и сыр</x:v>
      </x:c>
      <x:c r="C18" s="11" t="str">
        <x:v>999 ₽ / 850 г</x:v>
      </x:c>
      <x:c r="D18" s="11" t="str">
        <x:v>Скидка 10% — сообщение пользователя, не подтверждение поставщика.</x:v>
      </x:c>
      <x:c r="E18" s="11" t="str">
        <x:v>https://pirogi39.ru/osetinskij-pirog-s-kartofelem-i-syirom/</x:v>
      </x:c>
      <x:c r="F18" s="2" t="str">
        <x:v>29.10.2026</x:v>
      </x:c>
    </x:row>
    <x:row r="19" ht="52" customHeight="1">
      <x:c r="A19" s="2" t="str">
        <x:v>S01</x:v>
      </x:c>
      <x:c r="B19" s="11" t="str">
        <x:v>Технолог: разработка карт</x:v>
      </x:c>
      <x:c r="C19" s="11" t="str">
        <x:v>От 170 ₽ / документ</x:v>
      </x:c>
      <x:c r="D19" s="11" t="str">
        <x:v>Для 5–10: 210 ₽ за ТК и отдельно 210 ₽ за калькуляцию.</x:v>
      </x:c>
      <x:c r="E19" s="11" t="str">
        <x:v>https://tekhnolog.com/</x:v>
      </x:c>
      <x:c r="F19" s="2" t="str">
        <x:v>29.10.2026</x:v>
      </x:c>
    </x:row>
    <x:row r="20" ht="52" customHeight="1">
      <x:c r="A20" s="2" t="str">
        <x:v>S02</x:v>
      </x:c>
      <x:c r="B20" s="11" t="str">
        <x:v>1С-Рарус: сборник рецептур</x:v>
      </x:c>
      <x:c r="C20" s="11" t="str">
        <x:v>9 600 ₽</x:v>
      </x:c>
      <x:c r="D20" s="11" t="str">
        <x:v>Более 3500 рецептур; нужные начинки и совместимость уточнить до покупки.</x:v>
      </x:c>
      <x:c r="E20" s="11" t="str">
        <x:v>https://rarus.ru/1c-restoran/sbornik-receptur-1/</x:v>
      </x:c>
      <x:c r="F20" s="2" t="str">
        <x:v>29.10.2026</x:v>
      </x:c>
    </x:row>
    <x:row r="21" ht="52" customHeight="1">
      <x:c r="A21" s="2" t="str">
        <x:v>S03</x:v>
      </x:c>
      <x:c r="B21" s="11" t="str">
        <x:v>Шеф Эксперт</x:v>
      </x:c>
      <x:c r="C21" s="11" t="str">
        <x:v>Цена не подтверждена</x:v>
      </x:c>
      <x:c r="D21" s="11" t="str">
        <x:v>Демо и сборники есть; наличие нужных пирогов уточнить по составу.</x:v>
      </x:c>
      <x:c r="E21" s="11" t="str">
        <x:v>https://www.chefexpert.ru/skachat-programmu/</x:v>
      </x:c>
      <x:c r="F21" s="2" t="str">
        <x:v>29.10.2026</x:v>
      </x:c>
    </x:row>
    <x:row r="22" ht="52" customHeight="1">
      <x:c r="A22" s="2" t="str">
        <x:v>S04</x:v>
      </x:c>
      <x:c r="B22" s="11" t="str">
        <x:v>Saby Presto</x:v>
      </x:c>
      <x:c r="C22" s="11" t="str">
        <x:v>Зависит от комплектации</x:v>
      </x:c>
      <x:c r="D22" s="11" t="str">
        <x:v>Техкарты и себестоимость. /presto/price — услуги внедрения, не лицензия.</x:v>
      </x:c>
      <x:c r="E22" s="11" t="str">
        <x:v>https://saby.ru/presto/opportunities</x:v>
      </x:c>
      <x:c r="F22" s="2" t="str">
        <x:v>29.10.2026</x:v>
      </x:c>
    </x:row>
    <x:row r="23" ht="52" customHeight="1">
      <x:c r="A23" s="2" t="str">
        <x:v>S05</x:v>
      </x:c>
      <x:c r="B23" s="11" t="str">
        <x:v>Контур.Маркет</x:v>
      </x:c>
      <x:c r="C23" s="11" t="str">
        <x:v>Демо 14 дней</x:v>
      </x:c>
      <x:c r="D23" s="11" t="str">
        <x:v>Состав, закупочные цены, вложенные полуфабрикаты; тариф отдельно.</x:v>
      </x:c>
      <x:c r="E23" s="11" t="str">
        <x:v>https://kontur.ru/market/features/tehcards</x:v>
      </x:c>
      <x:c r="F23" s="2" t="str">
        <x:v>29.10.2026</x:v>
      </x:c>
    </x:row>
    <x:row r="24" ht="52" customHeight="1">
      <x:c r="A24" s="2" t="str">
        <x:v>S06</x:v>
      </x:c>
      <x:c r="B24" s="11" t="str">
        <x:v>Образцы калькуляций ОП-1</x:v>
      </x:c>
      <x:c r="C24" s="11" t="str">
        <x:v>Открытая страница</x:v>
      </x:c>
      <x:c r="D24" s="11" t="str">
        <x:v>Образцы других блюд; готовый файл для наших пирогов не подтверждён.</x:v>
      </x:c>
      <x:c r="E24" s="11" t="str">
        <x:v>https://tekhnolog.com/2021/08/05/skachat-kalkulyatsionnye-karty/</x:v>
      </x:c>
      <x:c r="F24" s="2" t="str">
        <x:v>29.10.2026</x:v>
      </x:c>
    </x:row>
    <x:row r="25" ht="52" customHeight="1">
      <x:c r="A25" s="2" t="str">
        <x:v>S07</x:v>
      </x:c>
      <x:c r="B25" s="11" t="str">
        <x:v>mister-snab.ru</x:v>
      </x:c>
      <x:c r="C25" s="11" t="str">
        <x:v>Шаблон не найден</x:v>
      </x:c>
      <x:c r="D25" s="11" t="str">
        <x:v>В поиске — сувенирная продукция; прямой запрос вернул HTTP 451.</x:v>
      </x:c>
      <x:c r="E25" s="11" t="str">
        <x:v>https://mister-snab.ru/faq/</x:v>
      </x:c>
      <x:c r="F25" s="2" t="str">
        <x:v>29.10.2026</x:v>
      </x:c>
    </x:row>
    <x:row r="26" ht="52" customHeight="1">
      <x:c r="A26" s="2" t="str">
        <x:v>X01</x:v>
      </x:c>
      <x:c r="B26" s="11" t="str">
        <x:v>Киш с лососем: ошибочная карта</x:v>
      </x:c>
      <x:c r="C26" s="11" t="str">
        <x:v>Исключено</x:v>
      </x:c>
      <x:c r="D26" s="11" t="str">
        <x:v>Внутри lobster concentrate и рыбные булочки; названию не соответствует.</x:v>
      </x:c>
      <x:c r="E26" s="11" t="str">
        <x:v>https://tekhnolog.com/2024/09/25/kish-s-lososem-i-brokkoli-ttk8808/</x:v>
      </x:c>
      <x:c r="F26" s="2" t="str">
        <x:v>29.10.2026</x:v>
      </x:c>
    </x:row>
    <x:row r="27" ht="52" customHeight="1">
      <x:c r="A27" s="2" t="str">
        <x:v>M01</x:v>
      </x:c>
      <x:c r="B27" s="11" t="str">
        <x:v>Плановые параметры проекта</x:v>
      </x:c>
      <x:c r="C27" s="11" t="str">
        <x:v>Не фактические расходы</x:v>
      </x:c>
      <x:c r="D27" s="11" t="str">
        <x:v>Доставка 350 ₽, упаковка 40 ₽, подвоз 5 ₽, резерв 10%, вклад 35%.</x:v>
      </x:c>
      <x:c r="E27" s="11" t="str">
        <x:v>src/data/pricing.ts</x:v>
      </x:c>
      <x:c r="F27" s="2" t="str">
        <x:v>29.10.2026</x:v>
      </x:c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  <x:row r="30" ht="23" customHeight="1">
      <x:c r="A30" s="2"/>
      <x:c r="B30" s="2"/>
      <x:c r="C30" s="2"/>
      <x:c r="D30" s="2"/>
      <x:c r="E30" s="2"/>
      <x:c r="F30" s="2"/>
    </x:row>
    <x:row r="31" ht="23" customHeight="1">
      <x:c r="A31" s="2"/>
      <x:c r="B31" s="2"/>
      <x:c r="C31" s="2"/>
      <x:c r="D31" s="2"/>
      <x:c r="E31" s="2"/>
      <x:c r="F31" s="2"/>
    </x:row>
    <x:row r="32" ht="23" customHeight="1">
      <x:c r="A32" s="2"/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  <x:row r="34" ht="23" customHeight="1">
      <x:c r="A34" s="2"/>
      <x:c r="B34" s="2"/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  <x:row r="36" ht="23" customHeight="1">
      <x:c r="A36" s="2"/>
      <x:c r="B36" s="2"/>
      <x:c r="C36" s="2"/>
      <x:c r="D36" s="2"/>
      <x:c r="E36" s="2"/>
      <x:c r="F36" s="2"/>
    </x:row>
  </x:sheetData>
  <x:pageMargins left="0.7" right="0.7" top="0.75" bottom="0.75" header="0.3" footer="0.3"/>
</x:worksheet>
</file>